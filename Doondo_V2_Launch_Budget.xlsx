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One-Time &amp; Year 1" sheetId="2" state="visible" r:id="rId4"/>
    <sheet name="Recurring Costs" sheetId="3" state="visible" r:id="rId5"/>
    <sheet name="Marketing &amp; Growth" sheetId="4" state="visible" r:id="rId6"/>
    <sheet name="Assumptions &amp; 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<sst xmlns="http://schemas.openxmlformats.org/spreadsheetml/2006/main" count="149" uniqueCount="142">
  <si>
    <t xml:space="preserve">Doondo V2  —  Cost to Complete &amp; Launch Nationally + 12-Month Runway</t>
  </si>
  <si>
    <t xml:space="preserve">Scenario: founder completes remaining development in-house · India-wide public launch · budget covers launch + 12 months of operations · all figures in INR (₹)</t>
  </si>
  <si>
    <t xml:space="preserve">Cost Category</t>
  </si>
  <si>
    <t xml:space="preserve">Low (₹)</t>
  </si>
  <si>
    <t xml:space="preserve">Expected (₹)</t>
  </si>
  <si>
    <t xml:space="preserve">High (₹)</t>
  </si>
  <si>
    <t xml:space="preserve">One-time &amp; Year-1 fixed costs</t>
  </si>
  <si>
    <t xml:space="preserve">Recurring infrastructure &amp; services (12 months)</t>
  </si>
  <si>
    <t xml:space="preserve">Operations &amp; support (12 months)</t>
  </si>
  <si>
    <t xml:space="preserve">Marketing &amp; user acquisition (12 months)</t>
  </si>
  <si>
    <t xml:space="preserve">Subtotal</t>
  </si>
  <si>
    <t xml:space="preserve">Contingency buffer</t>
  </si>
  <si>
    <t xml:space="preserve">GRAND TOTAL  —  cost to launch + 12 months</t>
  </si>
  <si>
    <t xml:space="preserve">Contingency rate (editable assumption)</t>
  </si>
  <si>
    <t xml:space="preserve">How to read this budget</t>
  </si>
  <si>
    <t xml:space="preserve">• Low = bare-bones bootstrap (founder also does support; lean marketing). Expected = a realistic lean national launch. High = aggressive paid-acquisition push.</t>
  </si>
  <si>
    <t xml:space="preserve">• The single biggest swing is marketing. Infrastructure and AI-API costs scale with how many users actually join — they start low and ramp.</t>
  </si>
  <si>
    <t xml:space="preserve">• Developer salaries are excluded — you are completing the build yourself. See the 'Assumptions &amp; Notes' tab for everything included and excluded.</t>
  </si>
  <si>
    <t xml:space="preserve">• Partner-funded items (insurance underwriting, worker-advance lending capital, payment escrow float) are NOT in this budget — see notes tab.</t>
  </si>
  <si>
    <t xml:space="preserve">One-Time / Setup &amp; Year-1 Fixed Costs  (₹)</t>
  </si>
  <si>
    <t xml:space="preserve">Item</t>
  </si>
  <si>
    <t xml:space="preserve">Low</t>
  </si>
  <si>
    <t xml:space="preserve">Expected</t>
  </si>
  <si>
    <t xml:space="preserve">High</t>
  </si>
  <si>
    <t xml:space="preserve">Notes</t>
  </si>
  <si>
    <t xml:space="preserve">Private Limited Company incorporation</t>
  </si>
  <si>
    <t xml:space="preserve">MCA registration, DSC, DIN, PAN/TAN. Needed to handle payments, data &amp; partnerships.</t>
  </si>
  <si>
    <t xml:space="preserve">Trademark registration — 'Doondo' brand (2 classes)</t>
  </si>
  <si>
    <t xml:space="preserve">Govt fee ₹4,500/class (startup rate) + attorney fee. Classes 9 (app) &amp; 35/42 (services).</t>
  </si>
  <si>
    <t xml:space="preserve">Legal — Terms of Service, Privacy Policy, user/employer agreements</t>
  </si>
  <si>
    <t xml:space="preserve">Essential: app handles UPI payments, worker PII, women-safety data, insurance &amp; advances.</t>
  </si>
  <si>
    <t xml:space="preserve">Apple Developer Program (first year)</t>
  </si>
  <si>
    <t xml:space="preserve">USD 99/yr. Renews annually.</t>
  </si>
  <si>
    <t xml:space="preserve">Google Play Developer registration</t>
  </si>
  <si>
    <t xml:space="preserve">USD 25, one-time.</t>
  </si>
  <si>
    <t xml:space="preserve">Domain registration (.com / .in)</t>
  </si>
  <si>
    <t xml:space="preserve">Standard ~₹1,500/yr; a premium/aftermarket domain can cost far more.</t>
  </si>
  <si>
    <t xml:space="preserve">Logo &amp; brand-asset polish</t>
  </si>
  <si>
    <t xml:space="preserve">Low = do it yourself; higher = freelance designer for full brand kit.</t>
  </si>
  <si>
    <t xml:space="preserve">Pre-launch security audit / penetration test</t>
  </si>
  <si>
    <t xml:space="preserve">Strongly advised before a payments + PII + women-safety app goes public.</t>
  </si>
  <si>
    <t xml:space="preserve">App-store listing creative (screenshots, preview video)</t>
  </si>
  <si>
    <t xml:space="preserve">Store screenshots in multiple languages + a short preview video.</t>
  </si>
  <si>
    <t xml:space="preserve">Test-device pool (Android range + iOS)</t>
  </si>
  <si>
    <t xml:space="preserve">Low-end Androids are the core audience — must be tested on real budget hardware.</t>
  </si>
  <si>
    <t xml:space="preserve">CA / accounting setup + GST &amp; ROC filings (year 1)</t>
  </si>
  <si>
    <t xml:space="preserve">Bookkeeping, GST registration &amp; returns, TDS.</t>
  </si>
  <si>
    <t xml:space="preserve">Statutory annual compliance (ROC annual return, audit)</t>
  </si>
  <si>
    <t xml:space="preserve">Year-1 company-law compliance and a basic statutory audit.</t>
  </si>
  <si>
    <t xml:space="preserve">Business insurance (cyber liability / D&amp;O)</t>
  </si>
  <si>
    <t xml:space="preserve">Optional year 1; cyber-liability cover is sensible given the data handled.</t>
  </si>
  <si>
    <t xml:space="preserve">TOTAL — One-Time &amp; Year-1 Fixed Costs</t>
  </si>
  <si>
    <t xml:space="preserve">Recurring Costs  —  Monthly Rate × 12-Month Annual  (₹)</t>
  </si>
  <si>
    <t xml:space="preserve">Low /mo</t>
  </si>
  <si>
    <t xml:space="preserve">Expected /mo</t>
  </si>
  <si>
    <t xml:space="preserve">High /mo</t>
  </si>
  <si>
    <t xml:space="preserve">Low /yr</t>
  </si>
  <si>
    <t xml:space="preserve">Expected /yr</t>
  </si>
  <si>
    <t xml:space="preserve">High /yr</t>
  </si>
  <si>
    <t xml:space="preserve">Infrastructure &amp; Hosting</t>
  </si>
  <si>
    <t xml:space="preserve">MongoDB Atlas — dedicated cluster</t>
  </si>
  <si>
    <t xml:space="preserve">Managed database. Starts small, scales with users; M10–M30 class.</t>
  </si>
  <si>
    <t xml:space="preserve">Backend app hosting (servers + load balancer)</t>
  </si>
  <si>
    <t xml:space="preserve">Node/Express API. Render/Railway/AWS; 1–3 instances as traffic grows.</t>
  </si>
  <si>
    <t xml:space="preserve">Object storage + CDN (photos, voice notes, video reels)</t>
  </si>
  <si>
    <t xml:space="preserve">30-sec Hire Reels are the cost driver — video storage + bandwidth.</t>
  </si>
  <si>
    <t xml:space="preserve">Transactional email service</t>
  </si>
  <si>
    <t xml:space="preserve">OTP backup, receipts, notifications (SES/SendGrid).</t>
  </si>
  <si>
    <t xml:space="preserve">Push notifications</t>
  </si>
  <si>
    <t xml:space="preserve">Expo Push / FCM are free; cost only if a paid tier is used.</t>
  </si>
  <si>
    <t xml:space="preserve">Subtotal — Infrastructure &amp; Hosting</t>
  </si>
  <si>
    <t xml:space="preserve">Third-Party APIs &amp; Tools</t>
  </si>
  <si>
    <t xml:space="preserve">AI / LLM API — Anthropic (photo profile, translation, resume, voice agent)</t>
  </si>
  <si>
    <t xml:space="preserve">Usage-based. In-chat auto-translate of every message is the main driver; scales with messaging volume.</t>
  </si>
  <si>
    <t xml:space="preserve">Speech-to-text / transcription (Indian languages)</t>
  </si>
  <si>
    <t xml:space="preserve">Voice-note auto-transcription &amp; voice agent. Sarvam AI / Google STT.</t>
  </si>
  <si>
    <t xml:space="preserve">SMS / OTP gateway</t>
  </si>
  <si>
    <t xml:space="preserve">Phone verification at national scale. ~₹0.12–0.20 per SMS.</t>
  </si>
  <si>
    <t xml:space="preserve">Maps / geolocation API</t>
  </si>
  <si>
    <t xml:space="preserve">Jobs map, nearby search, geocoding (Google Maps / Mapbox).</t>
  </si>
  <si>
    <t xml:space="preserve">Error monitoring (Sentry)</t>
  </si>
  <si>
    <t xml:space="preserve">Already integrated. Free tier early; paid team plan later.</t>
  </si>
  <si>
    <t xml:space="preserve">Product analytics</t>
  </si>
  <si>
    <t xml:space="preserve">Amplitude / PostHog — generous free tiers.</t>
  </si>
  <si>
    <t xml:space="preserve">EAS Build (Expo native build service)</t>
  </si>
  <si>
    <t xml:space="preserve">Builds the iOS/Android binaries and ships OTA updates.</t>
  </si>
  <si>
    <t xml:space="preserve">Subtotal — Third-Party APIs &amp; Tools</t>
  </si>
  <si>
    <t xml:space="preserve">Operations &amp; Support</t>
  </si>
  <si>
    <t xml:space="preserve">Customer support — regional-language agent(s)</t>
  </si>
  <si>
    <t xml:space="preserve">Low = founder handles it solo; Expected = 1 agent; High = 3-person desk for national coverage.</t>
  </si>
  <si>
    <t xml:space="preserve">Content moderation / trust &amp; safety (reels, reviews, SOS)</t>
  </si>
  <si>
    <t xml:space="preserve">Video reels and reviews need moderation; part-time at first.</t>
  </si>
  <si>
    <t xml:space="preserve">Ops for manual advance &amp; insurance processing</t>
  </si>
  <si>
    <t xml:space="preserve">V1 advances &amp; insurance are ops-processed manually until partners are wired.</t>
  </si>
  <si>
    <t xml:space="preserve">Subtotal — Operations &amp; Support (Annual)</t>
  </si>
  <si>
    <t xml:space="preserve">TOTAL RECURRING (Annual, 12 months)</t>
  </si>
  <si>
    <t xml:space="preserve">Marketing &amp; User Acquisition  —  12-Month Budget  (₹)</t>
  </si>
  <si>
    <t xml:space="preserve">Digital advertising / user acquisition (Google, Meta)</t>
  </si>
  <si>
    <t xml:space="preserve">The dominant, most scalable line. National paid acquisition; spend as far as the budget allows.</t>
  </si>
  <si>
    <t xml:space="preserve">On-ground / field marketing</t>
  </si>
  <si>
    <t xml:space="preserve">Worker hubs, labour-market partnerships, posters — key for reaching blue-collar users.</t>
  </si>
  <si>
    <t xml:space="preserve">Referral incentive pool (₹100 × 2, refer-a-friend)</t>
  </si>
  <si>
    <t xml:space="preserve">Real cash paid to users. Both referrer and referee get ₹100 on the first shift.</t>
  </si>
  <si>
    <t xml:space="preserve">Content, social &amp; influencer</t>
  </si>
  <si>
    <t xml:space="preserve">Regional-language video content and micro-influencers in target trades.</t>
  </si>
  <si>
    <t xml:space="preserve">ASO tools &amp; subscriptions</t>
  </si>
  <si>
    <t xml:space="preserve">App-store optimisation tooling and keyword tracking.</t>
  </si>
  <si>
    <t xml:space="preserve">TOTAL — Marketing &amp; Growth (12 months)</t>
  </si>
  <si>
    <t xml:space="preserve">Assumptions, Inclusions &amp; Exclusions</t>
  </si>
  <si>
    <t xml:space="preserve">Scenario this budget models</t>
  </si>
  <si>
    <t xml:space="preserve">• You complete the remaining development yourself — no developer salaries are included.</t>
  </si>
  <si>
    <t xml:space="preserve">• Public launch is India-wide (national). Infrastructure, support and marketing are sized for that reach.</t>
  </si>
  <si>
    <t xml:space="preserve">• The budget covers everything up to launch PLUS the first 12 months of operations.</t>
  </si>
  <si>
    <t xml:space="preserve">• All figures are in Indian Rupees (₹). USD-priced services converted at ~₹84/USD.</t>
  </si>
  <si>
    <t xml:space="preserve">• Project state at audit: 31 of 46 features shipped, 6 partial, 9 not started, plus translation QA and a real-DB boot test.</t>
  </si>
  <si>
    <t xml:space="preserve">What IS included</t>
  </si>
  <si>
    <t xml:space="preserve">• Company setup, trademark, legal documents and year-1 statutory compliance.</t>
  </si>
  <si>
    <t xml:space="preserve">• Apple &amp; Google developer accounts and a pre-launch security audit.</t>
  </si>
  <si>
    <t xml:space="preserve">• 12 months of hosting, database, storage/CDN, and all third-party APIs (AI, transcription, SMS, maps).</t>
  </si>
  <si>
    <t xml:space="preserve">• 12 months of customer support, content moderation, and manual ops for advances/insurance.</t>
  </si>
  <si>
    <t xml:space="preserve">• 12 months of marketing, including the refer-a-friend cash incentive pool.</t>
  </si>
  <si>
    <t xml:space="preserve">• A 12% contingency buffer on the subtotal (editable on the Summary tab).</t>
  </si>
  <si>
    <t xml:space="preserve">What is NOT included (would add to the total)</t>
  </si>
  <si>
    <t xml:space="preserve">• Developer salaries / your own founder salary and living costs — you are building it yourself.</t>
  </si>
  <si>
    <t xml:space="preserve">• Office space — assumes remote / home working.</t>
  </si>
  <si>
    <t xml:space="preserve">• Laptops and personal hardware — assumed already owned.</t>
  </si>
  <si>
    <t xml:space="preserve">• Fundraising, legal and accounting costs of raising investment.</t>
  </si>
  <si>
    <t xml:space="preserve">• GST / payment-gateway transaction fees once a real payment processor replaces the UPI-intent stub.</t>
  </si>
  <si>
    <t xml:space="preserve">Partner-funded — capital that does NOT come from this budget</t>
  </si>
  <si>
    <t xml:space="preserve">• Insurance underwriting: the ₹49/month accident cover needs an IRDAI-registered insurer partner. Doondo acts as a</t>
  </si>
  <si>
    <t xml:space="preserve">   facilitator/corporate agent — it does not fund claims itself. Integration may carry a separate setup cost.</t>
  </si>
  <si>
    <t xml:space="preserve">• Worker advances (₹500–₹5,000): the lending capital comes from an NBFC/microfinance partner, not Doondo.</t>
  </si>
  <si>
    <t xml:space="preserve">• Wage escrow (a backlog item): if built, needs a payment processor plus working-capital float.</t>
  </si>
  <si>
    <t xml:space="preserve">Biggest sources of uncertainty</t>
  </si>
  <si>
    <t xml:space="preserve">• Marketing is the largest swing — the Low–High range is wide on purpose. Spend can be throttled to match traction.</t>
  </si>
  <si>
    <t xml:space="preserve">• AI/LLM and infrastructure costs are usage-based: low at launch, rising with active users. The Expected case assumes steady ramp.</t>
  </si>
  <si>
    <t xml:space="preserve">• Customer support is the main Operations swing — doing it solo at first keeps the Low case near zero.</t>
  </si>
  <si>
    <t xml:space="preserve">Bottom line</t>
  </si>
  <si>
    <t xml:space="preserve">• Bare-bones bootstrap (Low): roughly ₹8–9 lakh.</t>
  </si>
  <si>
    <t xml:space="preserve">• Realistic lean national launch (Expected): roughly ₹29–30 lakh.</t>
  </si>
  <si>
    <t xml:space="preserve">• Aggressive paid-acquisition push (High): roughly ₹95 lakh – ₹1 crore.</t>
  </si>
  <si>
    <t xml:space="preserve">Prepared from a code + roadmap audit of the Doondo V2 repository, 25 May 2026.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</si>
</sst>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;&quot;(₹&quot;#,##0\);\-"/>
    <numFmt numFmtId="166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1F3A5F"/>
      <name val="Arial"/>
      <family val="0"/>
      <charset val="1"/>
    </font>
    <font>
      <sz val="9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262626"/>
      <name val="Arial"/>
      <family val="0"/>
      <charset val="1"/>
    </font>
    <font>
      <sz val="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404040"/>
      </patternFill>
    </fill>
    <fill>
      <patternFill patternType="solid">
        <fgColor rgb="FFEDEDED"/>
        <bgColor rgb="FFDCE6F1"/>
      </patternFill>
    </fill>
    <fill>
      <patternFill patternType="solid">
        <fgColor rgb="FFC6A35A"/>
        <bgColor rgb="FFBFBFBF"/>
      </patternFill>
    </fill>
    <fill>
      <patternFill patternType="solid">
        <fgColor rgb="FFFFF2CC"/>
        <bgColor rgb="FFEDEDED"/>
      </patternFill>
    </fill>
    <fill>
      <patternFill patternType="solid">
        <fgColor rgb="FFDCE6F1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6A35A"/>
      <rgbColor rgb="FF1F3A5F"/>
      <rgbColor rgb="FF339966"/>
      <rgbColor rgb="FF003300"/>
      <rgbColor rgb="FF40404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8" hidden="false" customHeight="true" outlineLevel="0" collapsed="false">
      <c r="A5" s="4" t="s">
        <v>6</v>
      </c>
      <c r="B5" s="5" t="n">
        <f aca="false">'One-Time &amp; Year 1'!B16</f>
        <v>119100</v>
      </c>
      <c r="C5" s="5" t="n">
        <f aca="false">'One-Time &amp; Year 1'!C16</f>
        <v>286600</v>
      </c>
      <c r="D5" s="5" t="n">
        <f aca="false">'One-Time &amp; Year 1'!D16</f>
        <v>640600</v>
      </c>
    </row>
    <row r="6" customFormat="false" ht="18" hidden="false" customHeight="true" outlineLevel="0" collapsed="false">
      <c r="A6" s="4" t="s">
        <v>7</v>
      </c>
      <c r="B6" s="5" t="n">
        <f aca="false">'Recurring Costs'!E9+'Recurring Costs'!E18</f>
        <v>397200</v>
      </c>
      <c r="C6" s="5" t="n">
        <f aca="false">'Recurring Costs'!F9+'Recurring Costs'!F18</f>
        <v>963600</v>
      </c>
      <c r="D6" s="5" t="n">
        <f aca="false">'Recurring Costs'!G9+'Recurring Costs'!G18</f>
        <v>2439600</v>
      </c>
    </row>
    <row r="7" customFormat="false" ht="18" hidden="false" customHeight="true" outlineLevel="0" collapsed="false">
      <c r="A7" s="4" t="s">
        <v>8</v>
      </c>
      <c r="B7" s="5" t="n">
        <f aca="false">'Recurring Costs'!E23</f>
        <v>0</v>
      </c>
      <c r="C7" s="5" t="n">
        <f aca="false">'Recurring Costs'!F23</f>
        <v>420000</v>
      </c>
      <c r="D7" s="5" t="n">
        <f aca="false">'Recurring Costs'!G23</f>
        <v>1380000</v>
      </c>
    </row>
    <row r="8" customFormat="false" ht="18" hidden="false" customHeight="true" outlineLevel="0" collapsed="false">
      <c r="A8" s="4" t="s">
        <v>9</v>
      </c>
      <c r="B8" s="5" t="n">
        <f aca="false">'Marketing &amp; Growth'!B8</f>
        <v>250000</v>
      </c>
      <c r="C8" s="5" t="n">
        <f aca="false">'Marketing &amp; Growth'!C8</f>
        <v>937000</v>
      </c>
      <c r="D8" s="5" t="n">
        <f aca="false">'Marketing &amp; Growth'!D8</f>
        <v>4130000</v>
      </c>
    </row>
    <row r="9" customFormat="false" ht="19.5" hidden="false" customHeight="true" outlineLevel="0" collapsed="false">
      <c r="A9" s="6" t="s">
        <v>10</v>
      </c>
      <c r="B9" s="7" t="n">
        <f aca="false">SUM(B5:B8)</f>
        <v>766300</v>
      </c>
      <c r="C9" s="7" t="n">
        <f aca="false">SUM(C5:C8)</f>
        <v>2607200</v>
      </c>
      <c r="D9" s="7" t="n">
        <f aca="false">SUM(D5:D8)</f>
        <v>8590200</v>
      </c>
    </row>
    <row r="10" customFormat="false" ht="19.5" hidden="false" customHeight="true" outlineLevel="0" collapsed="false">
      <c r="A10" s="6" t="s">
        <v>11</v>
      </c>
      <c r="B10" s="7" t="n">
        <f aca="false">B9*$B$14</f>
        <v>91956</v>
      </c>
      <c r="C10" s="7" t="n">
        <f aca="false">C9*$B$14</f>
        <v>312864</v>
      </c>
      <c r="D10" s="7" t="n">
        <f aca="false">D9*$B$14</f>
        <v>1030824</v>
      </c>
    </row>
    <row r="11" customFormat="false" ht="24" hidden="false" customHeight="true" outlineLevel="0" collapsed="false">
      <c r="A11" s="8" t="s">
        <v>12</v>
      </c>
      <c r="B11" s="9" t="n">
        <f aca="false">B9+B10</f>
        <v>858256</v>
      </c>
      <c r="C11" s="9" t="n">
        <f aca="false">C9+C10</f>
        <v>2920064</v>
      </c>
      <c r="D11" s="9" t="n">
        <f aca="false">D9+D10</f>
        <v>9621024</v>
      </c>
    </row>
    <row r="14" customFormat="false" ht="15" hidden="false" customHeight="false" outlineLevel="0" collapsed="false">
      <c r="A14" s="10" t="s">
        <v>13</v>
      </c>
      <c r="B14" s="11" t="n">
        <v>0.12</v>
      </c>
    </row>
    <row r="16" customFormat="false" ht="15" hidden="false" customHeight="false" outlineLevel="0" collapsed="false">
      <c r="A16" s="12" t="s">
        <v>14</v>
      </c>
      <c r="B16" s="12"/>
      <c r="C16" s="12"/>
      <c r="D16" s="12"/>
    </row>
    <row r="17" customFormat="false" ht="15" hidden="false" customHeight="false" outlineLevel="0" collapsed="false">
      <c r="A17" s="13" t="s">
        <v>15</v>
      </c>
      <c r="B17" s="13"/>
      <c r="C17" s="13"/>
      <c r="D17" s="13"/>
    </row>
    <row r="18" customFormat="false" ht="15" hidden="false" customHeight="false" outlineLevel="0" collapsed="false">
      <c r="A18" s="13" t="s">
        <v>16</v>
      </c>
      <c r="B18" s="13"/>
      <c r="C18" s="13"/>
      <c r="D18" s="13"/>
    </row>
    <row r="19" customFormat="false" ht="15" hidden="false" customHeight="false" outlineLevel="0" collapsed="false">
      <c r="A19" s="13" t="s">
        <v>17</v>
      </c>
      <c r="B19" s="13"/>
      <c r="C19" s="13"/>
      <c r="D19" s="13"/>
    </row>
    <row r="20" customFormat="false" ht="15" hidden="false" customHeight="false" outlineLevel="0" collapsed="false">
      <c r="A20" s="13" t="s">
        <v>18</v>
      </c>
      <c r="B20" s="13"/>
      <c r="C20" s="13"/>
      <c r="D20" s="13"/>
    </row>
  </sheetData>
  <mergeCells count="7">
    <mergeCell ref="A1:D1"/>
    <mergeCell ref="A2:D2"/>
    <mergeCell ref="A16:D16"/>
    <mergeCell ref="A17:D17"/>
    <mergeCell ref="A18:D18"/>
    <mergeCell ref="A19:D19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25.5" hidden="false" customHeight="true" outlineLevel="0" collapsed="false">
      <c r="A1" s="1" t="s">
        <v>19</v>
      </c>
      <c r="B1" s="1"/>
      <c r="C1" s="1"/>
      <c r="D1" s="1"/>
      <c r="E1" s="1"/>
    </row>
    <row r="2" customFormat="false" ht="30" hidden="false" customHeight="true" outlineLevel="0" collapsed="false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</row>
    <row r="3" customFormat="false" ht="30" hidden="false" customHeight="true" outlineLevel="0" collapsed="false">
      <c r="A3" s="14" t="s">
        <v>25</v>
      </c>
      <c r="B3" s="15" t="n">
        <v>8000</v>
      </c>
      <c r="C3" s="15" t="n">
        <v>15000</v>
      </c>
      <c r="D3" s="15" t="n">
        <v>25000</v>
      </c>
      <c r="E3" s="16" t="s">
        <v>26</v>
      </c>
    </row>
    <row r="4" customFormat="false" ht="30" hidden="false" customHeight="true" outlineLevel="0" collapsed="false">
      <c r="A4" s="14" t="s">
        <v>27</v>
      </c>
      <c r="B4" s="15" t="n">
        <v>9000</v>
      </c>
      <c r="C4" s="15" t="n">
        <v>18000</v>
      </c>
      <c r="D4" s="15" t="n">
        <v>30000</v>
      </c>
      <c r="E4" s="16" t="s">
        <v>28</v>
      </c>
    </row>
    <row r="5" customFormat="false" ht="30" hidden="false" customHeight="true" outlineLevel="0" collapsed="false">
      <c r="A5" s="14" t="s">
        <v>29</v>
      </c>
      <c r="B5" s="15" t="n">
        <v>20000</v>
      </c>
      <c r="C5" s="15" t="n">
        <v>40000</v>
      </c>
      <c r="D5" s="15" t="n">
        <v>75000</v>
      </c>
      <c r="E5" s="16" t="s">
        <v>30</v>
      </c>
    </row>
    <row r="6" customFormat="false" ht="30" hidden="false" customHeight="true" outlineLevel="0" collapsed="false">
      <c r="A6" s="14" t="s">
        <v>31</v>
      </c>
      <c r="B6" s="15" t="n">
        <v>8500</v>
      </c>
      <c r="C6" s="15" t="n">
        <v>8500</v>
      </c>
      <c r="D6" s="15" t="n">
        <v>8500</v>
      </c>
      <c r="E6" s="16" t="s">
        <v>32</v>
      </c>
    </row>
    <row r="7" customFormat="false" ht="30" hidden="false" customHeight="true" outlineLevel="0" collapsed="false">
      <c r="A7" s="14" t="s">
        <v>33</v>
      </c>
      <c r="B7" s="15" t="n">
        <v>2100</v>
      </c>
      <c r="C7" s="15" t="n">
        <v>2100</v>
      </c>
      <c r="D7" s="15" t="n">
        <v>2100</v>
      </c>
      <c r="E7" s="16" t="s">
        <v>34</v>
      </c>
    </row>
    <row r="8" customFormat="false" ht="30" hidden="false" customHeight="true" outlineLevel="0" collapsed="false">
      <c r="A8" s="14" t="s">
        <v>35</v>
      </c>
      <c r="B8" s="15" t="n">
        <v>1500</v>
      </c>
      <c r="C8" s="15" t="n">
        <v>5000</v>
      </c>
      <c r="D8" s="15" t="n">
        <v>50000</v>
      </c>
      <c r="E8" s="16" t="s">
        <v>36</v>
      </c>
    </row>
    <row r="9" customFormat="false" ht="30" hidden="false" customHeight="true" outlineLevel="0" collapsed="false">
      <c r="A9" s="14" t="s">
        <v>37</v>
      </c>
      <c r="B9" s="15" t="n">
        <v>0</v>
      </c>
      <c r="C9" s="15" t="n">
        <v>8000</v>
      </c>
      <c r="D9" s="15" t="n">
        <v>30000</v>
      </c>
      <c r="E9" s="16" t="s">
        <v>38</v>
      </c>
    </row>
    <row r="10" customFormat="false" ht="30" hidden="false" customHeight="true" outlineLevel="0" collapsed="false">
      <c r="A10" s="14" t="s">
        <v>39</v>
      </c>
      <c r="B10" s="15" t="n">
        <v>40000</v>
      </c>
      <c r="C10" s="15" t="n">
        <v>90000</v>
      </c>
      <c r="D10" s="15" t="n">
        <v>175000</v>
      </c>
      <c r="E10" s="16" t="s">
        <v>40</v>
      </c>
    </row>
    <row r="11" customFormat="false" ht="30" hidden="false" customHeight="true" outlineLevel="0" collapsed="false">
      <c r="A11" s="14" t="s">
        <v>41</v>
      </c>
      <c r="B11" s="15" t="n">
        <v>0</v>
      </c>
      <c r="C11" s="15" t="n">
        <v>10000</v>
      </c>
      <c r="D11" s="15" t="n">
        <v>35000</v>
      </c>
      <c r="E11" s="16" t="s">
        <v>42</v>
      </c>
    </row>
    <row r="12" customFormat="false" ht="30" hidden="false" customHeight="true" outlineLevel="0" collapsed="false">
      <c r="A12" s="14" t="s">
        <v>43</v>
      </c>
      <c r="B12" s="15" t="n">
        <v>10000</v>
      </c>
      <c r="C12" s="15" t="n">
        <v>20000</v>
      </c>
      <c r="D12" s="15" t="n">
        <v>40000</v>
      </c>
      <c r="E12" s="16" t="s">
        <v>44</v>
      </c>
    </row>
    <row r="13" customFormat="false" ht="30" hidden="false" customHeight="true" outlineLevel="0" collapsed="false">
      <c r="A13" s="14" t="s">
        <v>45</v>
      </c>
      <c r="B13" s="15" t="n">
        <v>12000</v>
      </c>
      <c r="C13" s="15" t="n">
        <v>25000</v>
      </c>
      <c r="D13" s="15" t="n">
        <v>50000</v>
      </c>
      <c r="E13" s="16" t="s">
        <v>46</v>
      </c>
    </row>
    <row r="14" customFormat="false" ht="30" hidden="false" customHeight="true" outlineLevel="0" collapsed="false">
      <c r="A14" s="14" t="s">
        <v>47</v>
      </c>
      <c r="B14" s="15" t="n">
        <v>8000</v>
      </c>
      <c r="C14" s="15" t="n">
        <v>20000</v>
      </c>
      <c r="D14" s="15" t="n">
        <v>45000</v>
      </c>
      <c r="E14" s="16" t="s">
        <v>48</v>
      </c>
    </row>
    <row r="15" customFormat="false" ht="30" hidden="false" customHeight="true" outlineLevel="0" collapsed="false">
      <c r="A15" s="14" t="s">
        <v>49</v>
      </c>
      <c r="B15" s="15" t="n">
        <v>0</v>
      </c>
      <c r="C15" s="15" t="n">
        <v>25000</v>
      </c>
      <c r="D15" s="15" t="n">
        <v>75000</v>
      </c>
      <c r="E15" s="16" t="s">
        <v>50</v>
      </c>
    </row>
    <row r="16" customFormat="false" ht="19.5" hidden="false" customHeight="true" outlineLevel="0" collapsed="false">
      <c r="A16" s="8" t="s">
        <v>51</v>
      </c>
      <c r="B16" s="9" t="n">
        <f aca="false">SUM(B3:B15)</f>
        <v>119100</v>
      </c>
      <c r="C16" s="9" t="n">
        <f aca="false">SUM(C3:C15)</f>
        <v>286600</v>
      </c>
      <c r="D16" s="9" t="n">
        <f aca="false">SUM(D3:D15)</f>
        <v>640600</v>
      </c>
      <c r="E16" s="17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3"/>
    <col collapsed="false" customWidth="true" hidden="false" outlineLevel="0" max="7" min="5" style="0" width="14"/>
    <col collapsed="false" customWidth="true" hidden="false" outlineLevel="0" max="8" min="8" style="0" width="52"/>
  </cols>
  <sheetData>
    <row r="1" customFormat="false" ht="25.5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3" t="s">
        <v>20</v>
      </c>
      <c r="B2" s="3" t="s">
        <v>53</v>
      </c>
      <c r="C2" s="3" t="s">
        <v>54</v>
      </c>
      <c r="D2" s="3" t="s">
        <v>55</v>
      </c>
      <c r="E2" s="3" t="s">
        <v>56</v>
      </c>
      <c r="F2" s="3" t="s">
        <v>57</v>
      </c>
      <c r="G2" s="3" t="s">
        <v>58</v>
      </c>
      <c r="H2" s="3" t="s">
        <v>24</v>
      </c>
    </row>
    <row r="3" customFormat="false" ht="15" hidden="false" customHeight="false" outlineLevel="0" collapsed="false">
      <c r="A3" s="18" t="s">
        <v>59</v>
      </c>
      <c r="B3" s="19"/>
      <c r="C3" s="19"/>
      <c r="D3" s="19"/>
      <c r="E3" s="19"/>
      <c r="F3" s="19"/>
      <c r="G3" s="19"/>
      <c r="H3" s="19"/>
    </row>
    <row r="4" customFormat="false" ht="30" hidden="false" customHeight="true" outlineLevel="0" collapsed="false">
      <c r="A4" s="14" t="s">
        <v>60</v>
      </c>
      <c r="B4" s="15" t="n">
        <v>5000</v>
      </c>
      <c r="C4" s="15" t="n">
        <v>10000</v>
      </c>
      <c r="D4" s="15" t="n">
        <v>22000</v>
      </c>
      <c r="E4" s="20" t="n">
        <f aca="false">B4*12</f>
        <v>60000</v>
      </c>
      <c r="F4" s="20" t="n">
        <f aca="false">C4*12</f>
        <v>120000</v>
      </c>
      <c r="G4" s="20" t="n">
        <f aca="false">D4*12</f>
        <v>264000</v>
      </c>
      <c r="H4" s="16" t="s">
        <v>61</v>
      </c>
    </row>
    <row r="5" customFormat="false" ht="30" hidden="false" customHeight="true" outlineLevel="0" collapsed="false">
      <c r="A5" s="14" t="s">
        <v>62</v>
      </c>
      <c r="B5" s="15" t="n">
        <v>6000</v>
      </c>
      <c r="C5" s="15" t="n">
        <v>12000</v>
      </c>
      <c r="D5" s="15" t="n">
        <v>28000</v>
      </c>
      <c r="E5" s="20" t="n">
        <f aca="false">B5*12</f>
        <v>72000</v>
      </c>
      <c r="F5" s="20" t="n">
        <f aca="false">C5*12</f>
        <v>144000</v>
      </c>
      <c r="G5" s="20" t="n">
        <f aca="false">D5*12</f>
        <v>336000</v>
      </c>
      <c r="H5" s="16" t="s">
        <v>63</v>
      </c>
    </row>
    <row r="6" customFormat="false" ht="30" hidden="false" customHeight="true" outlineLevel="0" collapsed="false">
      <c r="A6" s="14" t="s">
        <v>64</v>
      </c>
      <c r="B6" s="15" t="n">
        <v>4000</v>
      </c>
      <c r="C6" s="15" t="n">
        <v>9000</v>
      </c>
      <c r="D6" s="15" t="n">
        <v>25000</v>
      </c>
      <c r="E6" s="20" t="n">
        <f aca="false">B6*12</f>
        <v>48000</v>
      </c>
      <c r="F6" s="20" t="n">
        <f aca="false">C6*12</f>
        <v>108000</v>
      </c>
      <c r="G6" s="20" t="n">
        <f aca="false">D6*12</f>
        <v>300000</v>
      </c>
      <c r="H6" s="16" t="s">
        <v>65</v>
      </c>
    </row>
    <row r="7" customFormat="false" ht="30" hidden="false" customHeight="true" outlineLevel="0" collapsed="false">
      <c r="A7" s="14" t="s">
        <v>66</v>
      </c>
      <c r="B7" s="15" t="n">
        <v>500</v>
      </c>
      <c r="C7" s="15" t="n">
        <v>1000</v>
      </c>
      <c r="D7" s="15" t="n">
        <v>2500</v>
      </c>
      <c r="E7" s="20" t="n">
        <f aca="false">B7*12</f>
        <v>6000</v>
      </c>
      <c r="F7" s="20" t="n">
        <f aca="false">C7*12</f>
        <v>12000</v>
      </c>
      <c r="G7" s="20" t="n">
        <f aca="false">D7*12</f>
        <v>30000</v>
      </c>
      <c r="H7" s="16" t="s">
        <v>67</v>
      </c>
    </row>
    <row r="8" customFormat="false" ht="30" hidden="false" customHeight="true" outlineLevel="0" collapsed="false">
      <c r="A8" s="14" t="s">
        <v>68</v>
      </c>
      <c r="B8" s="15" t="n">
        <v>0</v>
      </c>
      <c r="C8" s="15" t="n">
        <v>0</v>
      </c>
      <c r="D8" s="15" t="n">
        <v>2000</v>
      </c>
      <c r="E8" s="20" t="n">
        <f aca="false">B8*12</f>
        <v>0</v>
      </c>
      <c r="F8" s="20" t="n">
        <f aca="false">C8*12</f>
        <v>0</v>
      </c>
      <c r="G8" s="20" t="n">
        <f aca="false">D8*12</f>
        <v>24000</v>
      </c>
      <c r="H8" s="16" t="s">
        <v>69</v>
      </c>
    </row>
    <row r="9" customFormat="false" ht="19.5" hidden="false" customHeight="true" outlineLevel="0" collapsed="false">
      <c r="A9" s="6" t="s">
        <v>70</v>
      </c>
      <c r="B9" s="7" t="n">
        <f aca="false">SUM(B4:B8)</f>
        <v>15500</v>
      </c>
      <c r="C9" s="7" t="n">
        <f aca="false">SUM(C4:C8)</f>
        <v>32000</v>
      </c>
      <c r="D9" s="7" t="n">
        <f aca="false">SUM(D4:D8)</f>
        <v>79500</v>
      </c>
      <c r="E9" s="7" t="n">
        <f aca="false">SUM(E4:E8)</f>
        <v>186000</v>
      </c>
      <c r="F9" s="7" t="n">
        <f aca="false">SUM(F4:F8)</f>
        <v>384000</v>
      </c>
      <c r="G9" s="7" t="n">
        <f aca="false">SUM(G4:G8)</f>
        <v>954000</v>
      </c>
      <c r="H9" s="21"/>
    </row>
    <row r="10" customFormat="false" ht="15" hidden="false" customHeight="false" outlineLevel="0" collapsed="false">
      <c r="A10" s="18" t="s">
        <v>71</v>
      </c>
      <c r="B10" s="19"/>
      <c r="C10" s="19"/>
      <c r="D10" s="19"/>
      <c r="E10" s="19"/>
      <c r="F10" s="19"/>
      <c r="G10" s="19"/>
      <c r="H10" s="19"/>
    </row>
    <row r="11" customFormat="false" ht="30" hidden="false" customHeight="true" outlineLevel="0" collapsed="false">
      <c r="A11" s="14" t="s">
        <v>72</v>
      </c>
      <c r="B11" s="15" t="n">
        <v>8000</v>
      </c>
      <c r="C11" s="15" t="n">
        <v>22000</v>
      </c>
      <c r="D11" s="15" t="n">
        <v>60000</v>
      </c>
      <c r="E11" s="20" t="n">
        <f aca="false">B11*12</f>
        <v>96000</v>
      </c>
      <c r="F11" s="20" t="n">
        <f aca="false">C11*12</f>
        <v>264000</v>
      </c>
      <c r="G11" s="20" t="n">
        <f aca="false">D11*12</f>
        <v>720000</v>
      </c>
      <c r="H11" s="16" t="s">
        <v>73</v>
      </c>
    </row>
    <row r="12" customFormat="false" ht="30" hidden="false" customHeight="true" outlineLevel="0" collapsed="false">
      <c r="A12" s="14" t="s">
        <v>74</v>
      </c>
      <c r="B12" s="15" t="n">
        <v>3000</v>
      </c>
      <c r="C12" s="15" t="n">
        <v>8000</v>
      </c>
      <c r="D12" s="15" t="n">
        <v>20000</v>
      </c>
      <c r="E12" s="20" t="n">
        <f aca="false">B12*12</f>
        <v>36000</v>
      </c>
      <c r="F12" s="20" t="n">
        <f aca="false">C12*12</f>
        <v>96000</v>
      </c>
      <c r="G12" s="20" t="n">
        <f aca="false">D12*12</f>
        <v>240000</v>
      </c>
      <c r="H12" s="16" t="s">
        <v>75</v>
      </c>
    </row>
    <row r="13" customFormat="false" ht="30" hidden="false" customHeight="true" outlineLevel="0" collapsed="false">
      <c r="A13" s="14" t="s">
        <v>76</v>
      </c>
      <c r="B13" s="15" t="n">
        <v>3000</v>
      </c>
      <c r="C13" s="15" t="n">
        <v>7000</v>
      </c>
      <c r="D13" s="15" t="n">
        <v>18000</v>
      </c>
      <c r="E13" s="20" t="n">
        <f aca="false">B13*12</f>
        <v>36000</v>
      </c>
      <c r="F13" s="20" t="n">
        <f aca="false">C13*12</f>
        <v>84000</v>
      </c>
      <c r="G13" s="20" t="n">
        <f aca="false">D13*12</f>
        <v>216000</v>
      </c>
      <c r="H13" s="16" t="s">
        <v>77</v>
      </c>
    </row>
    <row r="14" customFormat="false" ht="30" hidden="false" customHeight="true" outlineLevel="0" collapsed="false">
      <c r="A14" s="14" t="s">
        <v>78</v>
      </c>
      <c r="B14" s="15" t="n">
        <v>2000</v>
      </c>
      <c r="C14" s="15" t="n">
        <v>5000</v>
      </c>
      <c r="D14" s="15" t="n">
        <v>12000</v>
      </c>
      <c r="E14" s="20" t="n">
        <f aca="false">B14*12</f>
        <v>24000</v>
      </c>
      <c r="F14" s="20" t="n">
        <f aca="false">C14*12</f>
        <v>60000</v>
      </c>
      <c r="G14" s="20" t="n">
        <f aca="false">D14*12</f>
        <v>144000</v>
      </c>
      <c r="H14" s="16" t="s">
        <v>79</v>
      </c>
    </row>
    <row r="15" customFormat="false" ht="30" hidden="false" customHeight="true" outlineLevel="0" collapsed="false">
      <c r="A15" s="14" t="s">
        <v>80</v>
      </c>
      <c r="B15" s="15" t="n">
        <v>0</v>
      </c>
      <c r="C15" s="15" t="n">
        <v>1800</v>
      </c>
      <c r="D15" s="15" t="n">
        <v>2500</v>
      </c>
      <c r="E15" s="20" t="n">
        <f aca="false">B15*12</f>
        <v>0</v>
      </c>
      <c r="F15" s="20" t="n">
        <f aca="false">C15*12</f>
        <v>21600</v>
      </c>
      <c r="G15" s="20" t="n">
        <f aca="false">D15*12</f>
        <v>30000</v>
      </c>
      <c r="H15" s="16" t="s">
        <v>81</v>
      </c>
    </row>
    <row r="16" customFormat="false" ht="30" hidden="false" customHeight="true" outlineLevel="0" collapsed="false">
      <c r="A16" s="14" t="s">
        <v>82</v>
      </c>
      <c r="B16" s="15" t="n">
        <v>0</v>
      </c>
      <c r="C16" s="15" t="n">
        <v>1000</v>
      </c>
      <c r="D16" s="15" t="n">
        <v>3000</v>
      </c>
      <c r="E16" s="20" t="n">
        <f aca="false">B16*12</f>
        <v>0</v>
      </c>
      <c r="F16" s="20" t="n">
        <f aca="false">C16*12</f>
        <v>12000</v>
      </c>
      <c r="G16" s="20" t="n">
        <f aca="false">D16*12</f>
        <v>36000</v>
      </c>
      <c r="H16" s="16" t="s">
        <v>83</v>
      </c>
    </row>
    <row r="17" customFormat="false" ht="30" hidden="false" customHeight="true" outlineLevel="0" collapsed="false">
      <c r="A17" s="14" t="s">
        <v>84</v>
      </c>
      <c r="B17" s="15" t="n">
        <v>1600</v>
      </c>
      <c r="C17" s="15" t="n">
        <v>3500</v>
      </c>
      <c r="D17" s="15" t="n">
        <v>8300</v>
      </c>
      <c r="E17" s="20" t="n">
        <f aca="false">B17*12</f>
        <v>19200</v>
      </c>
      <c r="F17" s="20" t="n">
        <f aca="false">C17*12</f>
        <v>42000</v>
      </c>
      <c r="G17" s="20" t="n">
        <f aca="false">D17*12</f>
        <v>99600</v>
      </c>
      <c r="H17" s="16" t="s">
        <v>85</v>
      </c>
    </row>
    <row r="18" customFormat="false" ht="19.5" hidden="false" customHeight="true" outlineLevel="0" collapsed="false">
      <c r="A18" s="6" t="s">
        <v>86</v>
      </c>
      <c r="B18" s="7" t="n">
        <f aca="false">SUM(B11:B17)</f>
        <v>17600</v>
      </c>
      <c r="C18" s="7" t="n">
        <f aca="false">SUM(C11:C17)</f>
        <v>48300</v>
      </c>
      <c r="D18" s="7" t="n">
        <f aca="false">SUM(D11:D17)</f>
        <v>123800</v>
      </c>
      <c r="E18" s="7" t="n">
        <f aca="false">SUM(E11:E17)</f>
        <v>211200</v>
      </c>
      <c r="F18" s="7" t="n">
        <f aca="false">SUM(F11:F17)</f>
        <v>579600</v>
      </c>
      <c r="G18" s="7" t="n">
        <f aca="false">SUM(G11:G17)</f>
        <v>1485600</v>
      </c>
      <c r="H18" s="21"/>
    </row>
    <row r="19" customFormat="false" ht="15" hidden="false" customHeight="false" outlineLevel="0" collapsed="false">
      <c r="A19" s="18" t="s">
        <v>87</v>
      </c>
      <c r="B19" s="19"/>
      <c r="C19" s="19"/>
      <c r="D19" s="19"/>
      <c r="E19" s="19"/>
      <c r="F19" s="19"/>
      <c r="G19" s="19"/>
      <c r="H19" s="19"/>
    </row>
    <row r="20" customFormat="false" ht="30" hidden="false" customHeight="true" outlineLevel="0" collapsed="false">
      <c r="A20" s="14" t="s">
        <v>88</v>
      </c>
      <c r="B20" s="15" t="n">
        <v>0</v>
      </c>
      <c r="C20" s="15" t="n">
        <v>22000</v>
      </c>
      <c r="D20" s="15" t="n">
        <v>70000</v>
      </c>
      <c r="E20" s="20" t="n">
        <f aca="false">B20*12</f>
        <v>0</v>
      </c>
      <c r="F20" s="20" t="n">
        <f aca="false">C20*12</f>
        <v>264000</v>
      </c>
      <c r="G20" s="20" t="n">
        <f aca="false">D20*12</f>
        <v>840000</v>
      </c>
      <c r="H20" s="16" t="s">
        <v>89</v>
      </c>
    </row>
    <row r="21" customFormat="false" ht="30" hidden="false" customHeight="true" outlineLevel="0" collapsed="false">
      <c r="A21" s="14" t="s">
        <v>90</v>
      </c>
      <c r="B21" s="15" t="n">
        <v>0</v>
      </c>
      <c r="C21" s="15" t="n">
        <v>8000</v>
      </c>
      <c r="D21" s="15" t="n">
        <v>30000</v>
      </c>
      <c r="E21" s="20" t="n">
        <f aca="false">B21*12</f>
        <v>0</v>
      </c>
      <c r="F21" s="20" t="n">
        <f aca="false">C21*12</f>
        <v>96000</v>
      </c>
      <c r="G21" s="20" t="n">
        <f aca="false">D21*12</f>
        <v>360000</v>
      </c>
      <c r="H21" s="16" t="s">
        <v>91</v>
      </c>
    </row>
    <row r="22" customFormat="false" ht="30" hidden="false" customHeight="true" outlineLevel="0" collapsed="false">
      <c r="A22" s="14" t="s">
        <v>92</v>
      </c>
      <c r="B22" s="15" t="n">
        <v>0</v>
      </c>
      <c r="C22" s="15" t="n">
        <v>5000</v>
      </c>
      <c r="D22" s="15" t="n">
        <v>15000</v>
      </c>
      <c r="E22" s="20" t="n">
        <f aca="false">B22*12</f>
        <v>0</v>
      </c>
      <c r="F22" s="20" t="n">
        <f aca="false">C22*12</f>
        <v>60000</v>
      </c>
      <c r="G22" s="20" t="n">
        <f aca="false">D22*12</f>
        <v>180000</v>
      </c>
      <c r="H22" s="16" t="s">
        <v>93</v>
      </c>
    </row>
    <row r="23" customFormat="false" ht="19.5" hidden="false" customHeight="true" outlineLevel="0" collapsed="false">
      <c r="A23" s="6" t="s">
        <v>94</v>
      </c>
      <c r="B23" s="7" t="n">
        <f aca="false">SUM(B20:B22)</f>
        <v>0</v>
      </c>
      <c r="C23" s="7" t="n">
        <f aca="false">SUM(C20:C22)</f>
        <v>35000</v>
      </c>
      <c r="D23" s="7" t="n">
        <f aca="false">SUM(D20:D22)</f>
        <v>115000</v>
      </c>
      <c r="E23" s="7" t="n">
        <f aca="false">SUM(E20:E22)</f>
        <v>0</v>
      </c>
      <c r="F23" s="7" t="n">
        <f aca="false">SUM(F20:F22)</f>
        <v>420000</v>
      </c>
      <c r="G23" s="7" t="n">
        <f aca="false">SUM(G20:G22)</f>
        <v>1380000</v>
      </c>
      <c r="H23" s="21"/>
    </row>
    <row r="25" customFormat="false" ht="19.5" hidden="false" customHeight="true" outlineLevel="0" collapsed="false">
      <c r="A25" s="8" t="s">
        <v>95</v>
      </c>
      <c r="B25" s="17"/>
      <c r="C25" s="17"/>
      <c r="D25" s="17"/>
      <c r="E25" s="9" t="n">
        <f aca="false">E9+E18+E23</f>
        <v>397200</v>
      </c>
      <c r="F25" s="9" t="n">
        <f aca="false">F9+F18+F23</f>
        <v>1383600</v>
      </c>
      <c r="G25" s="9" t="n">
        <f aca="false">G9+G18+G23</f>
        <v>3819600</v>
      </c>
      <c r="H25" s="17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25.5" hidden="false" customHeight="true" outlineLevel="0" collapsed="false">
      <c r="A1" s="1" t="s">
        <v>96</v>
      </c>
      <c r="B1" s="1"/>
      <c r="C1" s="1"/>
      <c r="D1" s="1"/>
      <c r="E1" s="1"/>
    </row>
    <row r="2" customFormat="false" ht="30" hidden="false" customHeight="true" outlineLevel="0" collapsed="false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</row>
    <row r="3" customFormat="false" ht="30" hidden="false" customHeight="true" outlineLevel="0" collapsed="false">
      <c r="A3" s="14" t="s">
        <v>97</v>
      </c>
      <c r="B3" s="15" t="n">
        <v>150000</v>
      </c>
      <c r="C3" s="15" t="n">
        <v>500000</v>
      </c>
      <c r="D3" s="15" t="n">
        <v>2500000</v>
      </c>
      <c r="E3" s="16" t="s">
        <v>98</v>
      </c>
    </row>
    <row r="4" customFormat="false" ht="30" hidden="false" customHeight="true" outlineLevel="0" collapsed="false">
      <c r="A4" s="14" t="s">
        <v>99</v>
      </c>
      <c r="B4" s="15" t="n">
        <v>50000</v>
      </c>
      <c r="C4" s="15" t="n">
        <v>200000</v>
      </c>
      <c r="D4" s="15" t="n">
        <v>800000</v>
      </c>
      <c r="E4" s="16" t="s">
        <v>100</v>
      </c>
    </row>
    <row r="5" customFormat="false" ht="30" hidden="false" customHeight="true" outlineLevel="0" collapsed="false">
      <c r="A5" s="14" t="s">
        <v>101</v>
      </c>
      <c r="B5" s="15" t="n">
        <v>50000</v>
      </c>
      <c r="C5" s="15" t="n">
        <v>150000</v>
      </c>
      <c r="D5" s="15" t="n">
        <v>500000</v>
      </c>
      <c r="E5" s="16" t="s">
        <v>102</v>
      </c>
    </row>
    <row r="6" customFormat="false" ht="30" hidden="false" customHeight="true" outlineLevel="0" collapsed="false">
      <c r="A6" s="14" t="s">
        <v>103</v>
      </c>
      <c r="B6" s="15" t="n">
        <v>0</v>
      </c>
      <c r="C6" s="15" t="n">
        <v>75000</v>
      </c>
      <c r="D6" s="15" t="n">
        <v>300000</v>
      </c>
      <c r="E6" s="16" t="s">
        <v>104</v>
      </c>
    </row>
    <row r="7" customFormat="false" ht="30" hidden="false" customHeight="true" outlineLevel="0" collapsed="false">
      <c r="A7" s="14" t="s">
        <v>105</v>
      </c>
      <c r="B7" s="15" t="n">
        <v>0</v>
      </c>
      <c r="C7" s="15" t="n">
        <v>12000</v>
      </c>
      <c r="D7" s="15" t="n">
        <v>30000</v>
      </c>
      <c r="E7" s="16" t="s">
        <v>106</v>
      </c>
    </row>
    <row r="8" customFormat="false" ht="19.5" hidden="false" customHeight="true" outlineLevel="0" collapsed="false">
      <c r="A8" s="8" t="s">
        <v>107</v>
      </c>
      <c r="B8" s="9" t="n">
        <f aca="false">SUM(B3:B7)</f>
        <v>250000</v>
      </c>
      <c r="C8" s="9" t="n">
        <f aca="false">SUM(C3:C7)</f>
        <v>937000</v>
      </c>
      <c r="D8" s="9" t="n">
        <f aca="false">SUM(D3:D7)</f>
        <v>4130000</v>
      </c>
      <c r="E8" s="17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25.5" hidden="false" customHeight="true" outlineLevel="0" collapsed="false">
      <c r="A1" s="22" t="s">
        <v>108</v>
      </c>
    </row>
    <row r="3" customFormat="false" ht="19.5" hidden="false" customHeight="true" outlineLevel="0" collapsed="false">
      <c r="A3" s="23" t="s">
        <v>109</v>
      </c>
    </row>
    <row r="4" customFormat="false" ht="15" hidden="false" customHeight="false" outlineLevel="0" collapsed="false">
      <c r="A4" s="24" t="s">
        <v>110</v>
      </c>
    </row>
    <row r="5" customFormat="false" ht="15" hidden="false" customHeight="false" outlineLevel="0" collapsed="false">
      <c r="A5" s="24" t="s">
        <v>111</v>
      </c>
    </row>
    <row r="6" customFormat="false" ht="15" hidden="false" customHeight="false" outlineLevel="0" collapsed="false">
      <c r="A6" s="24" t="s">
        <v>112</v>
      </c>
    </row>
    <row r="7" customFormat="false" ht="15" hidden="false" customHeight="false" outlineLevel="0" collapsed="false">
      <c r="A7" s="24" t="s">
        <v>113</v>
      </c>
    </row>
    <row r="8" customFormat="false" ht="15" hidden="false" customHeight="false" outlineLevel="0" collapsed="false">
      <c r="A8" s="24" t="s">
        <v>114</v>
      </c>
    </row>
    <row r="9" customFormat="false" ht="15" hidden="false" customHeight="false" outlineLevel="0" collapsed="false">
      <c r="A9" s="25"/>
    </row>
    <row r="10" customFormat="false" ht="19.5" hidden="false" customHeight="true" outlineLevel="0" collapsed="false">
      <c r="A10" s="23" t="s">
        <v>115</v>
      </c>
    </row>
    <row r="11" customFormat="false" ht="15" hidden="false" customHeight="false" outlineLevel="0" collapsed="false">
      <c r="A11" s="24" t="s">
        <v>116</v>
      </c>
    </row>
    <row r="12" customFormat="false" ht="15" hidden="false" customHeight="false" outlineLevel="0" collapsed="false">
      <c r="A12" s="24" t="s">
        <v>117</v>
      </c>
    </row>
    <row r="13" customFormat="false" ht="15" hidden="false" customHeight="false" outlineLevel="0" collapsed="false">
      <c r="A13" s="24" t="s">
        <v>118</v>
      </c>
    </row>
    <row r="14" customFormat="false" ht="15" hidden="false" customHeight="false" outlineLevel="0" collapsed="false">
      <c r="A14" s="24" t="s">
        <v>119</v>
      </c>
    </row>
    <row r="15" customFormat="false" ht="15" hidden="false" customHeight="false" outlineLevel="0" collapsed="false">
      <c r="A15" s="24" t="s">
        <v>120</v>
      </c>
    </row>
    <row r="16" customFormat="false" ht="15" hidden="false" customHeight="false" outlineLevel="0" collapsed="false">
      <c r="A16" s="24" t="s">
        <v>121</v>
      </c>
    </row>
    <row r="17" customFormat="false" ht="15" hidden="false" customHeight="false" outlineLevel="0" collapsed="false">
      <c r="A17" s="25"/>
    </row>
    <row r="18" customFormat="false" ht="19.5" hidden="false" customHeight="true" outlineLevel="0" collapsed="false">
      <c r="A18" s="23" t="s">
        <v>122</v>
      </c>
    </row>
    <row r="19" customFormat="false" ht="15" hidden="false" customHeight="false" outlineLevel="0" collapsed="false">
      <c r="A19" s="24" t="s">
        <v>123</v>
      </c>
    </row>
    <row r="20" customFormat="false" ht="15" hidden="false" customHeight="false" outlineLevel="0" collapsed="false">
      <c r="A20" s="24" t="s">
        <v>124</v>
      </c>
    </row>
    <row r="21" customFormat="false" ht="15" hidden="false" customHeight="false" outlineLevel="0" collapsed="false">
      <c r="A21" s="24" t="s">
        <v>125</v>
      </c>
    </row>
    <row r="22" customFormat="false" ht="15" hidden="false" customHeight="false" outlineLevel="0" collapsed="false">
      <c r="A22" s="24" t="s">
        <v>126</v>
      </c>
    </row>
    <row r="23" customFormat="false" ht="15" hidden="false" customHeight="false" outlineLevel="0" collapsed="false">
      <c r="A23" s="24" t="s">
        <v>127</v>
      </c>
    </row>
    <row r="24" customFormat="false" ht="15" hidden="false" customHeight="false" outlineLevel="0" collapsed="false">
      <c r="A24" s="25"/>
    </row>
    <row r="25" customFormat="false" ht="19.5" hidden="false" customHeight="true" outlineLevel="0" collapsed="false">
      <c r="A25" s="23" t="s">
        <v>128</v>
      </c>
    </row>
    <row r="26" customFormat="false" ht="15" hidden="false" customHeight="false" outlineLevel="0" collapsed="false">
      <c r="A26" s="24" t="s">
        <v>129</v>
      </c>
    </row>
    <row r="27" customFormat="false" ht="15" hidden="false" customHeight="false" outlineLevel="0" collapsed="false">
      <c r="A27" s="24" t="s">
        <v>130</v>
      </c>
    </row>
    <row r="28" customFormat="false" ht="15" hidden="false" customHeight="false" outlineLevel="0" collapsed="false">
      <c r="A28" s="24" t="s">
        <v>131</v>
      </c>
    </row>
    <row r="29" customFormat="false" ht="15" hidden="false" customHeight="false" outlineLevel="0" collapsed="false">
      <c r="A29" s="24" t="s">
        <v>132</v>
      </c>
    </row>
    <row r="30" customFormat="false" ht="15" hidden="false" customHeight="false" outlineLevel="0" collapsed="false">
      <c r="A30" s="25"/>
    </row>
    <row r="31" customFormat="false" ht="19.5" hidden="false" customHeight="true" outlineLevel="0" collapsed="false">
      <c r="A31" s="23" t="s">
        <v>133</v>
      </c>
    </row>
    <row r="32" customFormat="false" ht="15" hidden="false" customHeight="false" outlineLevel="0" collapsed="false">
      <c r="A32" s="24" t="s">
        <v>134</v>
      </c>
    </row>
    <row r="33" customFormat="false" ht="15" hidden="false" customHeight="false" outlineLevel="0" collapsed="false">
      <c r="A33" s="24" t="s">
        <v>135</v>
      </c>
    </row>
    <row r="34" customFormat="false" ht="15" hidden="false" customHeight="false" outlineLevel="0" collapsed="false">
      <c r="A34" s="24" t="s">
        <v>136</v>
      </c>
    </row>
    <row r="35" customFormat="false" ht="15" hidden="false" customHeight="false" outlineLevel="0" collapsed="false">
      <c r="A35" s="25"/>
    </row>
    <row r="36" customFormat="false" ht="19.5" hidden="false" customHeight="true" outlineLevel="0" collapsed="false">
      <c r="A36" s="23" t="s">
        <v>137</v>
      </c>
    </row>
    <row r="37" customFormat="false" ht="15" hidden="false" customHeight="false" outlineLevel="0" collapsed="false">
      <c r="A37" s="24" t="s">
        <v>138</v>
      </c>
    </row>
    <row r="38" customFormat="false" ht="15" hidden="false" customHeight="false" outlineLevel="0" collapsed="false">
      <c r="A38" s="24" t="s">
        <v>139</v>
      </c>
    </row>
    <row r="39" customFormat="false" ht="15" hidden="false" customHeight="false" outlineLevel="0" collapsed="false">
      <c r="A39" s="24" t="s">
        <v>140</v>
      </c>
    </row>
    <row r="40" customFormat="false" ht="15" hidden="false" customHeight="false" outlineLevel="0" collapsed="false">
      <c r="A40" s="25"/>
    </row>
    <row r="41" customFormat="false" ht="15" hidden="false" customHeight="false" outlineLevel="0" collapsed="false">
      <c r="A41" s="24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2026-05-25T08:22:55Z</dcterms:created>
  <dc:creator>openpyxl</dc:creator>
  <dc:description/>
  <dc:language>en-US</dc:language>
  <cp:lastModifiedBy/>
  <dcterms:modified xsi:type="dcterms:W3CDTF">2026-05-25T08:22:55Z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